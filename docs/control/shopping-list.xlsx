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pping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Phase 1 is the whole layout as one block. Allow about two blocks per train.</t>
        </r>
      </text>
    </comment>
    <comment ref="A11" authorId="0">
      <text>
        <r>
          <rPr>
            <sz val="10"/>
            <rFont val="Arial"/>
            <family val="2"/>
          </rPr>
          <t xml:space="preserve">DRV8871 needs DRIVER_TYPE set to DRIVER_DRV8871 in firmware config.h. DRV8876 adds short-circuit and stall detection.</t>
        </r>
      </text>
    </comment>
    <comment ref="A12" authorId="0">
      <text>
        <r>
          <rPr>
            <sz val="10"/>
            <rFont val="Arial"/>
            <family val="2"/>
          </rPr>
          <t xml:space="preserve">SG90 is plenty for points; MG90S is more robust.</t>
        </r>
      </text>
    </comment>
    <comment ref="F5" authorId="0">
      <text>
        <r>
          <rPr>
            <sz val="10"/>
            <rFont val="Arial"/>
            <family val="2"/>
          </rPr>
          <t xml:space="preserve">1 / 1.1226, the EUR/USD rate on 21 Oct 2026 (poundsterlinglive.com).</t>
        </r>
      </text>
    </comment>
    <comment ref="F6" authorId="0">
      <text>
        <r>
          <rPr>
            <sz val="10"/>
            <rFont val="Arial"/>
            <family val="2"/>
          </rPr>
          <t xml:space="preserve">Standard rate 24% since 1 July 2025 (Estonian Tax and Customs Board, via trykintsugi.com). AliExpress adds it at checkout for EU addresses.</t>
        </r>
      </text>
    </comment>
    <comment ref="F7" authorId="0">
      <text>
        <r>
          <rPr>
            <sz val="10"/>
            <rFont val="Arial"/>
            <family val="2"/>
          </rPr>
          <t xml:space="preserve">Most of these items ship free to Estonia once the order passes AliExpress's minimum. Enter what checkout shows.</t>
        </r>
      </text>
    </comment>
  </commentList>
</comments>
</file>

<file path=xl/sharedStrings.xml><?xml version="1.0" encoding="utf-8"?>
<sst xmlns="http://schemas.openxmlformats.org/spreadsheetml/2006/main" count="160" uniqueCount="125">
  <si>
    <t xml:space="preserve">Railplot layout controller: shopping list</t>
  </si>
  <si>
    <t xml:space="preserve">Yellow cells are yours to change. Quantities, packs and costs update by themselves. Prices checked 21 October 2026 and change daily; AliExpress shows prices without Estonian VAT, which is added at checkout.</t>
  </si>
  <si>
    <t xml:space="preserve">Your layout</t>
  </si>
  <si>
    <t xml:space="preserve">Phase 1: one train</t>
  </si>
  <si>
    <t xml:space="preserve">Phase 2: up to 10 trains</t>
  </si>
  <si>
    <t xml:space="preserve">Prices</t>
  </si>
  <si>
    <t xml:space="preserve">Trains running at once</t>
  </si>
  <si>
    <t xml:space="preserve">US dollar to euro</t>
  </si>
  <si>
    <t xml:space="preserve">Blocks (track sections with their own driver)</t>
  </si>
  <si>
    <t xml:space="preserve">Estonian VAT</t>
  </si>
  <si>
    <t xml:space="preserve">Points (one servo each)</t>
  </si>
  <si>
    <t xml:space="preserve">AliExpress shipping, total</t>
  </si>
  <si>
    <t xml:space="preserve">Train sensors (one per block joint)</t>
  </si>
  <si>
    <t xml:space="preserve">Colour-light signals (2 LEDs each)</t>
  </si>
  <si>
    <t xml:space="preserve">Lights (LED outputs)</t>
  </si>
  <si>
    <t xml:space="preserve">Block driver: DRV8871 (cheapest) or DRV8876 (current sensing)</t>
  </si>
  <si>
    <t xml:space="preserve">DRV8871</t>
  </si>
  <si>
    <t xml:space="preserve">Servo: SG90 (cheapest) or MG90S (metal gears)</t>
  </si>
  <si>
    <t xml:space="preserve">SG90</t>
  </si>
  <si>
    <t xml:space="preserve">Worked out from your layout</t>
  </si>
  <si>
    <t xml:space="preserve">Controllers (ESP32, 6 blocks each)</t>
  </si>
  <si>
    <t xml:space="preserve">Servo boards (16 points each)</t>
  </si>
  <si>
    <t xml:space="preserve">LED outputs (signals x2 + lights)</t>
  </si>
  <si>
    <t xml:space="preserve">LED boards (16 outputs each)</t>
  </si>
  <si>
    <t xml:space="preserve">Sensor boards (16 sensors each)</t>
  </si>
  <si>
    <t xml:space="preserve">Insulated rail joiners (2 per block joint)</t>
  </si>
  <si>
    <t xml:space="preserve">Part</t>
  </si>
  <si>
    <t xml:space="preserve">What it's for</t>
  </si>
  <si>
    <t xml:space="preserve">Where</t>
  </si>
  <si>
    <t xml:space="preserve">Search for</t>
  </si>
  <si>
    <t xml:space="preserve">Pack size</t>
  </si>
  <si>
    <t xml:space="preserve">Pack price</t>
  </si>
  <si>
    <t xml:space="preserve">Currency</t>
  </si>
  <si>
    <t xml:space="preserve">Pack price €
(incl. VAT)</t>
  </si>
  <si>
    <t xml:space="preserve">Phase 1
qty</t>
  </si>
  <si>
    <t xml:space="preserve">Phase 1
packs</t>
  </si>
  <si>
    <t xml:space="preserve">Phase 1
cost €</t>
  </si>
  <si>
    <t xml:space="preserve">Phase 2
qty</t>
  </si>
  <si>
    <t xml:space="preserve">Phase 2
packs</t>
  </si>
  <si>
    <t xml:space="preserve">Phase 2
cost €</t>
  </si>
  <si>
    <t xml:space="preserve">Source / notes</t>
  </si>
  <si>
    <t xml:space="preserve">ESP32 development board, 38 pins, USB-C, CP2102</t>
  </si>
  <si>
    <t xml:space="preserve">The controller</t>
  </si>
  <si>
    <t xml:space="preserve">AliExpress</t>
  </si>
  <si>
    <t xml:space="preserve">ESP32 DevKitC 38 pin CP2102 Type-C</t>
  </si>
  <si>
    <t xml:space="preserve">USD</t>
  </si>
  <si>
    <t xml:space="preserve">AliExpress listing 'ESP32 Development Board TYPE-C/MICRO USB CP2102 ... ESP32-DevKitC-32 ... 38PINS', $5.33. https://www.aliexpress.com/w/wholesale-esp32-wroom-32-dev-kit.html</t>
  </si>
  <si>
    <t xml:space="preserve">ESP32 38-pin screw-terminal breakout board</t>
  </si>
  <si>
    <t xml:space="preserve">Screw terminals instead of soldering to the ESP32</t>
  </si>
  <si>
    <t xml:space="preserve">ESP32 38PIN terminal screw breakout board</t>
  </si>
  <si>
    <t xml:space="preserve">Listing '1 PCS 5/10 PCS ESP32 Breakout Board GPIO 1 into 2 for ESP-32S 38PIN Terminal Screw Board', $1.72. https://www.aliexpress.com/w/wholesale-esp32-screw-terminal-expansion-board.html</t>
  </si>
  <si>
    <t xml:space="preserve">DRV8871 motor driver breakout (TENSTAR)</t>
  </si>
  <si>
    <t xml:space="preserve">Track power, one per block (budget)</t>
  </si>
  <si>
    <t xml:space="preserve">TENSTAR DRV8871 H-Bridge breakout</t>
  </si>
  <si>
    <t xml:space="preserve">Listing 'TENSTAR DRV8871 H-Bridge Brushed DC Motor Driver Breakout Board ... 3.6A ... 6.5V To 45V', $1.33, 2,000+ sold. https://www.aliexpress.com/w/wholesale-drv8871-module.html</t>
  </si>
  <si>
    <t xml:space="preserve">DRV8876 motor driver carrier (Pololu 4036 layout)</t>
  </si>
  <si>
    <t xml:space="preserve">Track power, one per block (with current sensing)</t>
  </si>
  <si>
    <t xml:space="preserve">DRV8876 Single Brushed DC Motor Driver Carrier</t>
  </si>
  <si>
    <t xml:space="preserve">Listing 'DRV8876 Single Brushed DC Motor Driver Carrier', $7.05 (21 sold). Check the pins match Pololu 4036 (EN, PH, CS, SLEEP, PMODE). Genuine Pololu: DigiKey, TME, RobotShop. https://www.aliexpress.com/w/wholesale-pololu-4036.html</t>
  </si>
  <si>
    <t xml:space="preserve">PCA9685 16-channel PWM board (servos)</t>
  </si>
  <si>
    <t xml:space="preserve">Point servos, 16 per board, address 0x40</t>
  </si>
  <si>
    <t xml:space="preserve">PCA9685 16 channel servo driver</t>
  </si>
  <si>
    <t xml:space="preserve">Listing '1pcs PCA9685 16 Channel 12-bit PWM Servo motor Driver I2C Module Robot', $2.33. https://www.aliexpress.com/w/wholesale-pca9685-servo-driver.html</t>
  </si>
  <si>
    <t xml:space="preserve">PCA9685 16-channel PWM board (LEDs)</t>
  </si>
  <si>
    <t xml:space="preserve">Signals and lights, 16 per board, address 0x44</t>
  </si>
  <si>
    <t xml:space="preserve">Same board as above; bridge solder jumper A2 for address 0x44.</t>
  </si>
  <si>
    <t xml:space="preserve">MCP23017 I/O expander module (2-pack)</t>
  </si>
  <si>
    <t xml:space="preserve">Train sensor inputs, 16 per board</t>
  </si>
  <si>
    <t xml:space="preserve">TENSTAR MCP23017 module 2pcs</t>
  </si>
  <si>
    <t xml:space="preserve">Listing 'TENSTAR 2pcs MCP23017 Serial Interface Module IIC I2C ... 16-Bit I/O Expander', $3.79. https://www.aliexpress.com/w/wholesale-mcp23017-module.html</t>
  </si>
  <si>
    <t xml:space="preserve">TCRT5000 infrared sensor module</t>
  </si>
  <si>
    <t xml:space="preserve">Detects trains at block joints</t>
  </si>
  <si>
    <t xml:space="preserve">TCRT5000 sensor module 3.3V-5V</t>
  </si>
  <si>
    <t xml:space="preserve">Listing '1-5PCS TCRT5000 Infrared Reflective IR Photoelectric Sensor Switch 3.3V-5V ... Module', $1.12. Get the module with the blue trimmer (digital output). https://www.aliexpress.com/w/wholesale-tcrt5000.html</t>
  </si>
  <si>
    <t xml:space="preserve">SG90 micro servo (6-pack)</t>
  </si>
  <si>
    <t xml:space="preserve">Point motors</t>
  </si>
  <si>
    <t xml:space="preserve">SG90 9g micro servo 6pcs</t>
  </si>
  <si>
    <t xml:space="preserve">Listing '6pcs Sg90 9g Micro Servo Motor ...', $4.33 ($0.72/pc). https://www.aliexpress.com/w/wholesale-sg90-servo.html</t>
  </si>
  <si>
    <t xml:space="preserve">MG90S metal-gear servo (4-pack)</t>
  </si>
  <si>
    <t xml:space="preserve">Point motors (tougher)</t>
  </si>
  <si>
    <t xml:space="preserve">MG90S servo all metal gear 4pcs</t>
  </si>
  <si>
    <t xml:space="preserve">Listing '1/4/10Pcs MG90S Servo All Metal Gear 9g ...', $5.80 ($1.45/pc). https://www.aliexpress.com/w/wholesale-sg90-servo.html</t>
  </si>
  <si>
    <t xml:space="preserve">Steel wire 0.8 mm, hard 304 stainless</t>
  </si>
  <si>
    <t xml:space="preserve">Servo to point tie bar</t>
  </si>
  <si>
    <t xml:space="preserve">304 stainless steel wire hard 0.8mm</t>
  </si>
  <si>
    <t xml:space="preserve">Listing '0.1 ... 3mm 304 Stainless Steel Soft / Hard Single Strand Lashing Steel Wire', $1.72; choose hard, 0.8 mm. https://www.aliexpress.com/w/wholesale-piano-wire-0.8mm.html</t>
  </si>
  <si>
    <t xml:space="preserve">12 V 2 A plug-in power supply (Multicomp Pro MP007780)</t>
  </si>
  <si>
    <t xml:space="preserve">Track power, one per controller</t>
  </si>
  <si>
    <t xml:space="preserve">Farnell Estonia</t>
  </si>
  <si>
    <t xml:space="preserve">MP007780</t>
  </si>
  <si>
    <t xml:space="preserve">EUR ex VAT</t>
  </si>
  <si>
    <t xml:space="preserve">€12.16 ex VAT, EU plug, 5.5 x 2.1 mm barrel, in stock, free delivery over €50. https://ee.farnell.com/multicomp-pro/mp007780/adapter-ac-dc-12v-2a/dp/3778870 . A branded supply is worth the extra over a €3 no-name one.</t>
  </si>
  <si>
    <t xml:space="preserve">MP1584EN 3 A buck converter</t>
  </si>
  <si>
    <t xml:space="preserve">12 V to 5 V for the ESP32 and servos</t>
  </si>
  <si>
    <t xml:space="preserve">MP1584EN buck converter 3A</t>
  </si>
  <si>
    <t xml:space="preserve">Listing 'MP1584EN Ultra-Small Size DC-DC Step Down Power Supply Module MP1584 3A Adjustable', $1.59. Set it to 5.0 V with a meter before connecting. https://www.aliexpress.com/w/wholesale-mp1584en-buck-module.html</t>
  </si>
  <si>
    <t xml:space="preserve">Inline 5x20 mm fuse holders with fuses (5 sets)</t>
  </si>
  <si>
    <t xml:space="preserve">Protects the 12 V line</t>
  </si>
  <si>
    <t xml:space="preserve">5x20mm glass fuse holder screw type 22AWG wire</t>
  </si>
  <si>
    <t xml:space="preserve">Listing '10PCS 5PCS 5*20mm Glass Fuse Holder Screw Type ... with 5PCS 22AWG Wire Cable', $2.30. Fit a 2 A fast-blow fuse; buy 2 A fuses separately if the included ones differ. https://www.aliexpress.com/w/wholesale-inline-fuse-holder-5x20.html</t>
  </si>
  <si>
    <t xml:space="preserve">22 AWG silicone wire, 5 colours</t>
  </si>
  <si>
    <t xml:space="preserve">Track feeds and power</t>
  </si>
  <si>
    <t xml:space="preserve">22AWG silicone wire kit 5 colors</t>
  </si>
  <si>
    <t xml:space="preserve">Listing '22AWG Flexible Silicone Wire Kit, 5 Colors ...', $6.97. https://www.aliexpress.com/w/wholesale-22awg-silicone-wire.html</t>
  </si>
  <si>
    <t xml:space="preserve">Dupont jumper wires, 40 pcs, 20 cm</t>
  </si>
  <si>
    <t xml:space="preserve">Logic connections between boards</t>
  </si>
  <si>
    <t xml:space="preserve">Dupont jumper wire kit 20cm</t>
  </si>
  <si>
    <t xml:space="preserve">Listing '2.54mm Dupont Jumper Wire DIY Kit - 20cm/10cm ...', $0.72 (a sale price; allow ~$2). https://www.aliexpress.com/w/wholesale-dupont-jumper-wire-female-female.html</t>
  </si>
  <si>
    <t xml:space="preserve">3 mm LED and resistor kit</t>
  </si>
  <si>
    <t xml:space="preserve">Signals and lights</t>
  </si>
  <si>
    <t xml:space="preserve">3mm LED resistor kit</t>
  </si>
  <si>
    <t xml:space="preserve">Listing 'led Resistor kit 600Pcs 30 Values 1/4W Resistor Kit + 200Pcs 5Colors 3mm&amp;5mm LED', $1.09 (a sale price). Use 1 kΩ resistors. https://www.aliexpress.com/w/wholesale-3mm-led-resistor-kit.html</t>
  </si>
  <si>
    <t xml:space="preserve">Peco SL-11 insulated rail joiners, code 100 (12)</t>
  </si>
  <si>
    <t xml:space="preserve">Cut both rails at block ends</t>
  </si>
  <si>
    <t xml:space="preserve">eBay (UK shop)</t>
  </si>
  <si>
    <t xml:space="preserve">Peco SL-11</t>
  </si>
  <si>
    <t xml:space="preserve">EUR</t>
  </si>
  <si>
    <t xml:space="preserve">Frizinghall Models listing, £4.71 incl. VAT (about €5.61); postage below. PIKO A-Gleis users: PIKO 55291 (24 pcs) €5.30 + €2.95 post, Modellbahnshop Bienenmühle. https://www.ebay.de/itm/255076476565</t>
  </si>
  <si>
    <t xml:space="preserve">Postage for rail joiners</t>
  </si>
  <si>
    <t xml:space="preserve">£6.75 postage shown on the eBay listing (about €7.70), plus possible import charges from the UK.</t>
  </si>
  <si>
    <t xml:space="preserve">AliExpress shipping</t>
  </si>
  <si>
    <t xml:space="preserve">Total</t>
  </si>
  <si>
    <t xml:space="preserve">Not on the list: 3D-print your own servo mounts; insulated joiners for other track brands (Hornby R920, PIKO 55291); a meter to set the buck converter to 5 V.</t>
  </si>
  <si>
    <t xml:space="preserve">Phase 1 needs no joiners, sensors or signals. Change the yellow numbers for your own layout.</t>
  </si>
  <si>
    <t xml:space="preserve">AliExpress prices are the discounted prices shown on 21 Oct 2026, before VAT. They change daily, and some $1.09 items are new-shopper deals. Search the 'Search for' text to find the same items.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</si>
</sst>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%"/>
    <numFmt numFmtId="167" formatCode="\€#,##0.00;&quot;-€&quot;#,##0.00;\-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3DA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9C1B6"/>
      </bottom>
      <diagonal/>
    </border>
    <border diagonalUp="false" diagonalDown="false">
      <left/>
      <right/>
      <top style="thin">
        <color rgb="FFB9C1B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1B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pane xSplit="1" ySplit="0" topLeftCell="B23" activePane="topRight" state="frozen"/>
      <selection pane="topLeft" activeCell="A23" activeCellId="0" sqref="A23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8"/>
    <col collapsed="false" customWidth="true" hidden="false" outlineLevel="0" max="11" min="11" style="0" width="11"/>
    <col collapsed="false" customWidth="true" hidden="false" outlineLevel="0" max="13" min="12" style="0" width="8"/>
    <col collapsed="false" customWidth="true" hidden="false" outlineLevel="0" max="14" min="14" style="0" width="11"/>
    <col collapsed="false" customWidth="true" hidden="false" outlineLevel="0" max="15" min="15" style="0" width="9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v>1</v>
      </c>
      <c r="C5" s="5" t="n">
        <v>10</v>
      </c>
      <c r="E5" s="4" t="s">
        <v>7</v>
      </c>
      <c r="F5" s="6" t="n">
        <v>0.8908</v>
      </c>
    </row>
    <row r="6" customFormat="false" ht="15" hidden="false" customHeight="false" outlineLevel="0" collapsed="false">
      <c r="A6" s="4" t="s">
        <v>8</v>
      </c>
      <c r="B6" s="5" t="n">
        <v>1</v>
      </c>
      <c r="C6" s="5" t="n">
        <v>20</v>
      </c>
      <c r="E6" s="4" t="s">
        <v>9</v>
      </c>
      <c r="F6" s="7" t="n">
        <v>0.24</v>
      </c>
    </row>
    <row r="7" customFormat="false" ht="15" hidden="false" customHeight="false" outlineLevel="0" collapsed="false">
      <c r="A7" s="4" t="s">
        <v>10</v>
      </c>
      <c r="B7" s="5" t="n">
        <v>4</v>
      </c>
      <c r="C7" s="5" t="n">
        <v>16</v>
      </c>
      <c r="E7" s="4" t="s">
        <v>11</v>
      </c>
      <c r="F7" s="8" t="n">
        <v>0</v>
      </c>
    </row>
    <row r="8" customFormat="false" ht="15" hidden="false" customHeight="false" outlineLevel="0" collapsed="false">
      <c r="A8" s="4" t="s">
        <v>12</v>
      </c>
      <c r="B8" s="5" t="n">
        <v>0</v>
      </c>
      <c r="C8" s="5" t="n">
        <v>20</v>
      </c>
    </row>
    <row r="9" customFormat="false" ht="15" hidden="false" customHeight="false" outlineLevel="0" collapsed="false">
      <c r="A9" s="4" t="s">
        <v>13</v>
      </c>
      <c r="B9" s="5" t="n">
        <v>0</v>
      </c>
      <c r="C9" s="5" t="n">
        <v>10</v>
      </c>
    </row>
    <row r="10" customFormat="false" ht="15" hidden="false" customHeight="false" outlineLevel="0" collapsed="false">
      <c r="A10" s="4" t="s">
        <v>14</v>
      </c>
      <c r="B10" s="5" t="n">
        <v>4</v>
      </c>
      <c r="C10" s="5" t="n">
        <v>12</v>
      </c>
    </row>
    <row r="11" customFormat="false" ht="15" hidden="false" customHeight="false" outlineLevel="0" collapsed="false">
      <c r="A11" s="4" t="s">
        <v>15</v>
      </c>
      <c r="B11" s="5" t="s">
        <v>16</v>
      </c>
      <c r="C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  <c r="C12" s="5" t="s">
        <v>18</v>
      </c>
    </row>
    <row r="14" customFormat="false" ht="15" hidden="false" customHeight="false" outlineLevel="0" collapsed="false">
      <c r="A14" s="3" t="s">
        <v>19</v>
      </c>
    </row>
    <row r="15" customFormat="false" ht="15" hidden="false" customHeight="false" outlineLevel="0" collapsed="false">
      <c r="A15" s="4" t="s">
        <v>20</v>
      </c>
      <c r="B15" s="4" t="n">
        <f aca="false">CEILING(B6/6,1)</f>
        <v>1</v>
      </c>
      <c r="C15" s="4" t="n">
        <f aca="false">CEILING(C6/6,1)</f>
        <v>4</v>
      </c>
    </row>
    <row r="16" customFormat="false" ht="15" hidden="false" customHeight="false" outlineLevel="0" collapsed="false">
      <c r="A16" s="4" t="s">
        <v>21</v>
      </c>
      <c r="B16" s="4" t="n">
        <f aca="false">IF(B7&gt;0,CEILING(B7/16,1),0)</f>
        <v>1</v>
      </c>
      <c r="C16" s="4" t="n">
        <f aca="false">IF(C7&gt;0,CEILING(C7/16,1),0)</f>
        <v>1</v>
      </c>
    </row>
    <row r="17" customFormat="false" ht="15" hidden="false" customHeight="false" outlineLevel="0" collapsed="false">
      <c r="A17" s="4" t="s">
        <v>22</v>
      </c>
      <c r="B17" s="4" t="n">
        <f aca="false">B9*2+B10</f>
        <v>4</v>
      </c>
      <c r="C17" s="4" t="n">
        <f aca="false">C9*2+C10</f>
        <v>32</v>
      </c>
    </row>
    <row r="18" customFormat="false" ht="15" hidden="false" customHeight="false" outlineLevel="0" collapsed="false">
      <c r="A18" s="4" t="s">
        <v>23</v>
      </c>
      <c r="B18" s="4" t="n">
        <f aca="false">IF(B17&gt;0,CEILING(B17/16,1),0)</f>
        <v>1</v>
      </c>
      <c r="C18" s="4" t="n">
        <f aca="false">IF(C17&gt;0,CEILING(C17/16,1),0)</f>
        <v>2</v>
      </c>
    </row>
    <row r="19" customFormat="false" ht="15" hidden="false" customHeight="false" outlineLevel="0" collapsed="false">
      <c r="A19" s="4" t="s">
        <v>24</v>
      </c>
      <c r="B19" s="4" t="n">
        <f aca="false">IF(B8&gt;0,CEILING(B8/16,1),0)</f>
        <v>0</v>
      </c>
      <c r="C19" s="4" t="n">
        <f aca="false">IF(C8&gt;0,CEILING(C8/16,1),0)</f>
        <v>2</v>
      </c>
    </row>
    <row r="20" customFormat="false" ht="15" hidden="false" customHeight="false" outlineLevel="0" collapsed="false">
      <c r="A20" s="4" t="s">
        <v>25</v>
      </c>
      <c r="B20" s="4" t="n">
        <f aca="false">IF(B6&gt;1,B6*2,0)</f>
        <v>0</v>
      </c>
      <c r="C20" s="4" t="n">
        <f aca="false">IF(C6&gt;1,C6*2,0)</f>
        <v>40</v>
      </c>
    </row>
    <row r="22" customFormat="false" ht="30" hidden="false" customHeight="true" outlineLevel="0" collapsed="false">
      <c r="A22" s="9" t="s">
        <v>26</v>
      </c>
      <c r="B22" s="9" t="s">
        <v>27</v>
      </c>
      <c r="C22" s="9" t="s">
        <v>28</v>
      </c>
      <c r="D22" s="9" t="s">
        <v>29</v>
      </c>
      <c r="E22" s="9" t="s">
        <v>30</v>
      </c>
      <c r="F22" s="9" t="s">
        <v>31</v>
      </c>
      <c r="G22" s="9" t="s">
        <v>32</v>
      </c>
      <c r="H22" s="9" t="s">
        <v>33</v>
      </c>
      <c r="I22" s="9" t="s">
        <v>34</v>
      </c>
      <c r="J22" s="9" t="s">
        <v>35</v>
      </c>
      <c r="K22" s="9" t="s">
        <v>36</v>
      </c>
      <c r="L22" s="9" t="s">
        <v>37</v>
      </c>
      <c r="M22" s="9" t="s">
        <v>38</v>
      </c>
      <c r="N22" s="9" t="s">
        <v>39</v>
      </c>
      <c r="O22" s="9" t="s">
        <v>40</v>
      </c>
    </row>
    <row r="23" customFormat="false" ht="15" hidden="false" customHeight="false" outlineLevel="0" collapsed="false">
      <c r="A23" s="4" t="s">
        <v>41</v>
      </c>
      <c r="B23" s="4" t="s">
        <v>42</v>
      </c>
      <c r="C23" s="4" t="s">
        <v>43</v>
      </c>
      <c r="D23" s="4" t="s">
        <v>44</v>
      </c>
      <c r="E23" s="10" t="n">
        <v>1</v>
      </c>
      <c r="F23" s="11" t="n">
        <v>5.33</v>
      </c>
      <c r="G23" s="4" t="s">
        <v>45</v>
      </c>
      <c r="H23" s="12" t="n">
        <f aca="false">IF(G23="USD",F23*$F$5*(1+$F$6),IF(G23="EUR ex VAT",F23*(1+$F$6),F23))</f>
        <v>5.88747536</v>
      </c>
      <c r="I23" s="4" t="n">
        <f aca="false">B15</f>
        <v>1</v>
      </c>
      <c r="J23" s="4" t="n">
        <f aca="false">IF(I23&gt;0,CEILING(I23/E23,1),0)</f>
        <v>1</v>
      </c>
      <c r="K23" s="12" t="n">
        <f aca="false">J23*H23</f>
        <v>5.88747536</v>
      </c>
      <c r="L23" s="4" t="n">
        <f aca="false">C15</f>
        <v>4</v>
      </c>
      <c r="M23" s="4" t="n">
        <f aca="false">IF(L23&gt;0,CEILING(L23/E23,1),0)</f>
        <v>4</v>
      </c>
      <c r="N23" s="12" t="n">
        <f aca="false">M23*H23</f>
        <v>23.54990144</v>
      </c>
      <c r="O23" s="4" t="s">
        <v>46</v>
      </c>
    </row>
    <row r="24" customFormat="false" ht="15" hidden="false" customHeight="false" outlineLevel="0" collapsed="false">
      <c r="A24" s="4" t="s">
        <v>47</v>
      </c>
      <c r="B24" s="4" t="s">
        <v>48</v>
      </c>
      <c r="C24" s="4" t="s">
        <v>43</v>
      </c>
      <c r="D24" s="4" t="s">
        <v>49</v>
      </c>
      <c r="E24" s="10" t="n">
        <v>1</v>
      </c>
      <c r="F24" s="11" t="n">
        <v>1.72</v>
      </c>
      <c r="G24" s="4" t="s">
        <v>45</v>
      </c>
      <c r="H24" s="12" t="n">
        <f aca="false">IF(G24="USD",F24*$F$5*(1+$F$6),IF(G24="EUR ex VAT",F24*(1+$F$6),F24))</f>
        <v>1.89989824</v>
      </c>
      <c r="I24" s="4" t="n">
        <f aca="false">B15</f>
        <v>1</v>
      </c>
      <c r="J24" s="4" t="n">
        <f aca="false">IF(I24&gt;0,CEILING(I24/E24,1),0)</f>
        <v>1</v>
      </c>
      <c r="K24" s="12" t="n">
        <f aca="false">J24*H24</f>
        <v>1.89989824</v>
      </c>
      <c r="L24" s="4" t="n">
        <f aca="false">C15</f>
        <v>4</v>
      </c>
      <c r="M24" s="4" t="n">
        <f aca="false">IF(L24&gt;0,CEILING(L24/E24,1),0)</f>
        <v>4</v>
      </c>
      <c r="N24" s="12" t="n">
        <f aca="false">M24*H24</f>
        <v>7.59959296</v>
      </c>
      <c r="O24" s="4" t="s">
        <v>50</v>
      </c>
    </row>
    <row r="25" customFormat="false" ht="15" hidden="false" customHeight="false" outlineLevel="0" collapsed="false">
      <c r="A25" s="4" t="s">
        <v>51</v>
      </c>
      <c r="B25" s="4" t="s">
        <v>52</v>
      </c>
      <c r="C25" s="4" t="s">
        <v>43</v>
      </c>
      <c r="D25" s="4" t="s">
        <v>53</v>
      </c>
      <c r="E25" s="10" t="n">
        <v>1</v>
      </c>
      <c r="F25" s="11" t="n">
        <v>1.33</v>
      </c>
      <c r="G25" s="4" t="s">
        <v>45</v>
      </c>
      <c r="H25" s="12" t="n">
        <f aca="false">IF(G25="USD",F25*$F$5*(1+$F$6),IF(G25="EUR ex VAT",F25*(1+$F$6),F25))</f>
        <v>1.46910736</v>
      </c>
      <c r="I25" s="4" t="n">
        <f aca="false">IF(B11="DRV8871",B6,0)</f>
        <v>1</v>
      </c>
      <c r="J25" s="4" t="n">
        <f aca="false">IF(I25&gt;0,CEILING(I25/E25,1),0)</f>
        <v>1</v>
      </c>
      <c r="K25" s="12" t="n">
        <f aca="false">J25*H25</f>
        <v>1.46910736</v>
      </c>
      <c r="L25" s="4" t="n">
        <f aca="false">IF(C11="DRV8871",C6,0)</f>
        <v>20</v>
      </c>
      <c r="M25" s="4" t="n">
        <f aca="false">IF(L25&gt;0,CEILING(L25/E25,1),0)</f>
        <v>20</v>
      </c>
      <c r="N25" s="12" t="n">
        <f aca="false">M25*H25</f>
        <v>29.3821472</v>
      </c>
      <c r="O25" s="4" t="s">
        <v>54</v>
      </c>
    </row>
    <row r="26" customFormat="false" ht="15" hidden="false" customHeight="false" outlineLevel="0" collapsed="false">
      <c r="A26" s="4" t="s">
        <v>55</v>
      </c>
      <c r="B26" s="4" t="s">
        <v>56</v>
      </c>
      <c r="C26" s="4" t="s">
        <v>43</v>
      </c>
      <c r="D26" s="4" t="s">
        <v>57</v>
      </c>
      <c r="E26" s="10" t="n">
        <v>1</v>
      </c>
      <c r="F26" s="11" t="n">
        <v>7.05</v>
      </c>
      <c r="G26" s="4" t="s">
        <v>45</v>
      </c>
      <c r="H26" s="12" t="n">
        <f aca="false">IF(G26="USD",F26*$F$5*(1+$F$6),IF(G26="EUR ex VAT",F26*(1+$F$6),F26))</f>
        <v>7.7873736</v>
      </c>
      <c r="I26" s="4" t="n">
        <f aca="false">IF(B11="DRV8876",B6,0)</f>
        <v>0</v>
      </c>
      <c r="J26" s="4" t="n">
        <f aca="false">IF(I26&gt;0,CEILING(I26/E26,1),0)</f>
        <v>0</v>
      </c>
      <c r="K26" s="12" t="n">
        <f aca="false">J26*H26</f>
        <v>0</v>
      </c>
      <c r="L26" s="4" t="n">
        <f aca="false">IF(C11="DRV8876",C6,0)</f>
        <v>0</v>
      </c>
      <c r="M26" s="4" t="n">
        <f aca="false">IF(L26&gt;0,CEILING(L26/E26,1),0)</f>
        <v>0</v>
      </c>
      <c r="N26" s="12" t="n">
        <f aca="false">M26*H26</f>
        <v>0</v>
      </c>
      <c r="O26" s="4" t="s">
        <v>58</v>
      </c>
    </row>
    <row r="27" customFormat="false" ht="15" hidden="false" customHeight="false" outlineLevel="0" collapsed="false">
      <c r="A27" s="4" t="s">
        <v>59</v>
      </c>
      <c r="B27" s="4" t="s">
        <v>60</v>
      </c>
      <c r="C27" s="4" t="s">
        <v>43</v>
      </c>
      <c r="D27" s="4" t="s">
        <v>61</v>
      </c>
      <c r="E27" s="10" t="n">
        <v>1</v>
      </c>
      <c r="F27" s="11" t="n">
        <v>2.33</v>
      </c>
      <c r="G27" s="4" t="s">
        <v>45</v>
      </c>
      <c r="H27" s="12" t="n">
        <f aca="false">IF(G27="USD",F27*$F$5*(1+$F$6),IF(G27="EUR ex VAT",F27*(1+$F$6),F27))</f>
        <v>2.57369936</v>
      </c>
      <c r="I27" s="4" t="n">
        <f aca="false">B16</f>
        <v>1</v>
      </c>
      <c r="J27" s="4" t="n">
        <f aca="false">IF(I27&gt;0,CEILING(I27/E27,1),0)</f>
        <v>1</v>
      </c>
      <c r="K27" s="12" t="n">
        <f aca="false">J27*H27</f>
        <v>2.57369936</v>
      </c>
      <c r="L27" s="4" t="n">
        <f aca="false">C16</f>
        <v>1</v>
      </c>
      <c r="M27" s="4" t="n">
        <f aca="false">IF(L27&gt;0,CEILING(L27/E27,1),0)</f>
        <v>1</v>
      </c>
      <c r="N27" s="12" t="n">
        <f aca="false">M27*H27</f>
        <v>2.57369936</v>
      </c>
      <c r="O27" s="4" t="s">
        <v>62</v>
      </c>
    </row>
    <row r="28" customFormat="false" ht="15" hidden="false" customHeight="false" outlineLevel="0" collapsed="false">
      <c r="A28" s="4" t="s">
        <v>63</v>
      </c>
      <c r="B28" s="4" t="s">
        <v>64</v>
      </c>
      <c r="C28" s="4" t="s">
        <v>43</v>
      </c>
      <c r="D28" s="4" t="s">
        <v>61</v>
      </c>
      <c r="E28" s="10" t="n">
        <v>1</v>
      </c>
      <c r="F28" s="11" t="n">
        <v>2.33</v>
      </c>
      <c r="G28" s="4" t="s">
        <v>45</v>
      </c>
      <c r="H28" s="12" t="n">
        <f aca="false">IF(G28="USD",F28*$F$5*(1+$F$6),IF(G28="EUR ex VAT",F28*(1+$F$6),F28))</f>
        <v>2.57369936</v>
      </c>
      <c r="I28" s="4" t="n">
        <f aca="false">B18</f>
        <v>1</v>
      </c>
      <c r="J28" s="4" t="n">
        <f aca="false">IF(I28&gt;0,CEILING(I28/E28,1),0)</f>
        <v>1</v>
      </c>
      <c r="K28" s="12" t="n">
        <f aca="false">J28*H28</f>
        <v>2.57369936</v>
      </c>
      <c r="L28" s="4" t="n">
        <f aca="false">C18</f>
        <v>2</v>
      </c>
      <c r="M28" s="4" t="n">
        <f aca="false">IF(L28&gt;0,CEILING(L28/E28,1),0)</f>
        <v>2</v>
      </c>
      <c r="N28" s="12" t="n">
        <f aca="false">M28*H28</f>
        <v>5.14739872</v>
      </c>
      <c r="O28" s="4" t="s">
        <v>65</v>
      </c>
    </row>
    <row r="29" customFormat="false" ht="15" hidden="false" customHeight="false" outlineLevel="0" collapsed="false">
      <c r="A29" s="4" t="s">
        <v>66</v>
      </c>
      <c r="B29" s="4" t="s">
        <v>67</v>
      </c>
      <c r="C29" s="4" t="s">
        <v>43</v>
      </c>
      <c r="D29" s="4" t="s">
        <v>68</v>
      </c>
      <c r="E29" s="10" t="n">
        <v>2</v>
      </c>
      <c r="F29" s="11" t="n">
        <v>3.79</v>
      </c>
      <c r="G29" s="4" t="s">
        <v>45</v>
      </c>
      <c r="H29" s="12" t="n">
        <f aca="false">IF(G29="USD",F29*$F$5*(1+$F$6),IF(G29="EUR ex VAT",F29*(1+$F$6),F29))</f>
        <v>4.18640368</v>
      </c>
      <c r="I29" s="4" t="n">
        <f aca="false">B19</f>
        <v>0</v>
      </c>
      <c r="J29" s="4" t="n">
        <f aca="false">IF(I29&gt;0,CEILING(I29/E29,1),0)</f>
        <v>0</v>
      </c>
      <c r="K29" s="12" t="n">
        <f aca="false">J29*H29</f>
        <v>0</v>
      </c>
      <c r="L29" s="4" t="n">
        <f aca="false">C19</f>
        <v>2</v>
      </c>
      <c r="M29" s="4" t="n">
        <f aca="false">IF(L29&gt;0,CEILING(L29/E29,1),0)</f>
        <v>1</v>
      </c>
      <c r="N29" s="12" t="n">
        <f aca="false">M29*H29</f>
        <v>4.18640368</v>
      </c>
      <c r="O29" s="4" t="s">
        <v>69</v>
      </c>
    </row>
    <row r="30" customFormat="false" ht="15" hidden="false" customHeight="false" outlineLevel="0" collapsed="false">
      <c r="A30" s="4" t="s">
        <v>70</v>
      </c>
      <c r="B30" s="4" t="s">
        <v>71</v>
      </c>
      <c r="C30" s="4" t="s">
        <v>43</v>
      </c>
      <c r="D30" s="4" t="s">
        <v>72</v>
      </c>
      <c r="E30" s="10" t="n">
        <v>1</v>
      </c>
      <c r="F30" s="11" t="n">
        <v>1.12</v>
      </c>
      <c r="G30" s="4" t="s">
        <v>45</v>
      </c>
      <c r="H30" s="12" t="n">
        <f aca="false">IF(G30="USD",F30*$F$5*(1+$F$6),IF(G30="EUR ex VAT",F30*(1+$F$6),F30))</f>
        <v>1.23714304</v>
      </c>
      <c r="I30" s="4" t="n">
        <f aca="false">B8</f>
        <v>0</v>
      </c>
      <c r="J30" s="4" t="n">
        <f aca="false">IF(I30&gt;0,CEILING(I30/E30,1),0)</f>
        <v>0</v>
      </c>
      <c r="K30" s="12" t="n">
        <f aca="false">J30*H30</f>
        <v>0</v>
      </c>
      <c r="L30" s="4" t="n">
        <f aca="false">C8</f>
        <v>20</v>
      </c>
      <c r="M30" s="4" t="n">
        <f aca="false">IF(L30&gt;0,CEILING(L30/E30,1),0)</f>
        <v>20</v>
      </c>
      <c r="N30" s="12" t="n">
        <f aca="false">M30*H30</f>
        <v>24.7428608</v>
      </c>
      <c r="O30" s="4" t="s">
        <v>73</v>
      </c>
    </row>
    <row r="31" customFormat="false" ht="15" hidden="false" customHeight="false" outlineLevel="0" collapsed="false">
      <c r="A31" s="4" t="s">
        <v>74</v>
      </c>
      <c r="B31" s="4" t="s">
        <v>75</v>
      </c>
      <c r="C31" s="4" t="s">
        <v>43</v>
      </c>
      <c r="D31" s="4" t="s">
        <v>76</v>
      </c>
      <c r="E31" s="10" t="n">
        <v>6</v>
      </c>
      <c r="F31" s="11" t="n">
        <v>4.33</v>
      </c>
      <c r="G31" s="4" t="s">
        <v>45</v>
      </c>
      <c r="H31" s="12" t="n">
        <f aca="false">IF(G31="USD",F31*$F$5*(1+$F$6),IF(G31="EUR ex VAT",F31*(1+$F$6),F31))</f>
        <v>4.78288336</v>
      </c>
      <c r="I31" s="4" t="n">
        <f aca="false">IF(B12="SG90",B7,0)</f>
        <v>4</v>
      </c>
      <c r="J31" s="4" t="n">
        <f aca="false">IF(I31&gt;0,CEILING(I31/E31,1),0)</f>
        <v>1</v>
      </c>
      <c r="K31" s="12" t="n">
        <f aca="false">J31*H31</f>
        <v>4.78288336</v>
      </c>
      <c r="L31" s="4" t="n">
        <f aca="false">IF(C12="SG90",C7,0)</f>
        <v>16</v>
      </c>
      <c r="M31" s="4" t="n">
        <f aca="false">IF(L31&gt;0,CEILING(L31/E31,1),0)</f>
        <v>3</v>
      </c>
      <c r="N31" s="12" t="n">
        <f aca="false">M31*H31</f>
        <v>14.34865008</v>
      </c>
      <c r="O31" s="4" t="s">
        <v>77</v>
      </c>
    </row>
    <row r="32" customFormat="false" ht="15" hidden="false" customHeight="false" outlineLevel="0" collapsed="false">
      <c r="A32" s="4" t="s">
        <v>78</v>
      </c>
      <c r="B32" s="4" t="s">
        <v>79</v>
      </c>
      <c r="C32" s="4" t="s">
        <v>43</v>
      </c>
      <c r="D32" s="4" t="s">
        <v>80</v>
      </c>
      <c r="E32" s="10" t="n">
        <v>4</v>
      </c>
      <c r="F32" s="11" t="n">
        <v>5.8</v>
      </c>
      <c r="G32" s="4" t="s">
        <v>45</v>
      </c>
      <c r="H32" s="12" t="n">
        <f aca="false">IF(G32="USD",F32*$F$5*(1+$F$6),IF(G32="EUR ex VAT",F32*(1+$F$6),F32))</f>
        <v>6.4066336</v>
      </c>
      <c r="I32" s="4" t="n">
        <f aca="false">IF(B12="MG90S",B7,0)</f>
        <v>0</v>
      </c>
      <c r="J32" s="4" t="n">
        <f aca="false">IF(I32&gt;0,CEILING(I32/E32,1),0)</f>
        <v>0</v>
      </c>
      <c r="K32" s="12" t="n">
        <f aca="false">J32*H32</f>
        <v>0</v>
      </c>
      <c r="L32" s="4" t="n">
        <f aca="false">IF(C12="MG90S",C7,0)</f>
        <v>0</v>
      </c>
      <c r="M32" s="4" t="n">
        <f aca="false">IF(L32&gt;0,CEILING(L32/E32,1),0)</f>
        <v>0</v>
      </c>
      <c r="N32" s="12" t="n">
        <f aca="false">M32*H32</f>
        <v>0</v>
      </c>
      <c r="O32" s="4" t="s">
        <v>81</v>
      </c>
    </row>
    <row r="33" customFormat="false" ht="15" hidden="false" customHeight="false" outlineLevel="0" collapsed="false">
      <c r="A33" s="4" t="s">
        <v>82</v>
      </c>
      <c r="B33" s="4" t="s">
        <v>83</v>
      </c>
      <c r="C33" s="4" t="s">
        <v>43</v>
      </c>
      <c r="D33" s="4" t="s">
        <v>84</v>
      </c>
      <c r="E33" s="10" t="n">
        <v>1</v>
      </c>
      <c r="F33" s="11" t="n">
        <v>1.72</v>
      </c>
      <c r="G33" s="4" t="s">
        <v>45</v>
      </c>
      <c r="H33" s="12" t="n">
        <f aca="false">IF(G33="USD",F33*$F$5*(1+$F$6),IF(G33="EUR ex VAT",F33*(1+$F$6),F33))</f>
        <v>1.89989824</v>
      </c>
      <c r="I33" s="4" t="n">
        <f aca="false">IF(B7&gt;0,1,0)</f>
        <v>1</v>
      </c>
      <c r="J33" s="4" t="n">
        <f aca="false">IF(I33&gt;0,CEILING(I33/E33,1),0)</f>
        <v>1</v>
      </c>
      <c r="K33" s="12" t="n">
        <f aca="false">J33*H33</f>
        <v>1.89989824</v>
      </c>
      <c r="L33" s="4" t="n">
        <f aca="false">IF(C7&gt;0,1,0)</f>
        <v>1</v>
      </c>
      <c r="M33" s="4" t="n">
        <f aca="false">IF(L33&gt;0,CEILING(L33/E33,1),0)</f>
        <v>1</v>
      </c>
      <c r="N33" s="12" t="n">
        <f aca="false">M33*H33</f>
        <v>1.89989824</v>
      </c>
      <c r="O33" s="4" t="s">
        <v>85</v>
      </c>
    </row>
    <row r="34" customFormat="false" ht="15" hidden="false" customHeight="false" outlineLevel="0" collapsed="false">
      <c r="A34" s="4" t="s">
        <v>86</v>
      </c>
      <c r="B34" s="4" t="s">
        <v>87</v>
      </c>
      <c r="C34" s="4" t="s">
        <v>88</v>
      </c>
      <c r="D34" s="4" t="s">
        <v>89</v>
      </c>
      <c r="E34" s="10" t="n">
        <v>1</v>
      </c>
      <c r="F34" s="11" t="n">
        <v>12.16</v>
      </c>
      <c r="G34" s="4" t="s">
        <v>90</v>
      </c>
      <c r="H34" s="12" t="n">
        <f aca="false">IF(G34="USD",F34*$F$5*(1+$F$6),IF(G34="EUR ex VAT",F34*(1+$F$6),F34))</f>
        <v>15.0784</v>
      </c>
      <c r="I34" s="4" t="n">
        <f aca="false">B15</f>
        <v>1</v>
      </c>
      <c r="J34" s="4" t="n">
        <f aca="false">IF(I34&gt;0,CEILING(I34/E34,1),0)</f>
        <v>1</v>
      </c>
      <c r="K34" s="12" t="n">
        <f aca="false">J34*H34</f>
        <v>15.0784</v>
      </c>
      <c r="L34" s="4" t="n">
        <f aca="false">C15</f>
        <v>4</v>
      </c>
      <c r="M34" s="4" t="n">
        <f aca="false">IF(L34&gt;0,CEILING(L34/E34,1),0)</f>
        <v>4</v>
      </c>
      <c r="N34" s="12" t="n">
        <f aca="false">M34*H34</f>
        <v>60.3136</v>
      </c>
      <c r="O34" s="4" t="s">
        <v>91</v>
      </c>
    </row>
    <row r="35" customFormat="false" ht="15" hidden="false" customHeight="false" outlineLevel="0" collapsed="false">
      <c r="A35" s="4" t="s">
        <v>92</v>
      </c>
      <c r="B35" s="4" t="s">
        <v>93</v>
      </c>
      <c r="C35" s="4" t="s">
        <v>43</v>
      </c>
      <c r="D35" s="4" t="s">
        <v>94</v>
      </c>
      <c r="E35" s="10" t="n">
        <v>1</v>
      </c>
      <c r="F35" s="11" t="n">
        <v>1.59</v>
      </c>
      <c r="G35" s="4" t="s">
        <v>45</v>
      </c>
      <c r="H35" s="12" t="n">
        <f aca="false">IF(G35="USD",F35*$F$5*(1+$F$6),IF(G35="EUR ex VAT",F35*(1+$F$6),F35))</f>
        <v>1.75630128</v>
      </c>
      <c r="I35" s="4" t="n">
        <f aca="false">B15</f>
        <v>1</v>
      </c>
      <c r="J35" s="4" t="n">
        <f aca="false">IF(I35&gt;0,CEILING(I35/E35,1),0)</f>
        <v>1</v>
      </c>
      <c r="K35" s="12" t="n">
        <f aca="false">J35*H35</f>
        <v>1.75630128</v>
      </c>
      <c r="L35" s="4" t="n">
        <f aca="false">C15</f>
        <v>4</v>
      </c>
      <c r="M35" s="4" t="n">
        <f aca="false">IF(L35&gt;0,CEILING(L35/E35,1),0)</f>
        <v>4</v>
      </c>
      <c r="N35" s="12" t="n">
        <f aca="false">M35*H35</f>
        <v>7.02520512</v>
      </c>
      <c r="O35" s="4" t="s">
        <v>95</v>
      </c>
    </row>
    <row r="36" customFormat="false" ht="15" hidden="false" customHeight="false" outlineLevel="0" collapsed="false">
      <c r="A36" s="4" t="s">
        <v>96</v>
      </c>
      <c r="B36" s="4" t="s">
        <v>97</v>
      </c>
      <c r="C36" s="4" t="s">
        <v>43</v>
      </c>
      <c r="D36" s="4" t="s">
        <v>98</v>
      </c>
      <c r="E36" s="10" t="n">
        <v>5</v>
      </c>
      <c r="F36" s="11" t="n">
        <v>2.3</v>
      </c>
      <c r="G36" s="4" t="s">
        <v>45</v>
      </c>
      <c r="H36" s="12" t="n">
        <f aca="false">IF(G36="USD",F36*$F$5*(1+$F$6),IF(G36="EUR ex VAT",F36*(1+$F$6),F36))</f>
        <v>2.5405616</v>
      </c>
      <c r="I36" s="4" t="n">
        <f aca="false">B15</f>
        <v>1</v>
      </c>
      <c r="J36" s="4" t="n">
        <f aca="false">IF(I36&gt;0,CEILING(I36/E36,1),0)</f>
        <v>1</v>
      </c>
      <c r="K36" s="12" t="n">
        <f aca="false">J36*H36</f>
        <v>2.5405616</v>
      </c>
      <c r="L36" s="4" t="n">
        <f aca="false">C15</f>
        <v>4</v>
      </c>
      <c r="M36" s="4" t="n">
        <f aca="false">IF(L36&gt;0,CEILING(L36/E36,1),0)</f>
        <v>1</v>
      </c>
      <c r="N36" s="12" t="n">
        <f aca="false">M36*H36</f>
        <v>2.5405616</v>
      </c>
      <c r="O36" s="4" t="s">
        <v>99</v>
      </c>
    </row>
    <row r="37" customFormat="false" ht="15" hidden="false" customHeight="false" outlineLevel="0" collapsed="false">
      <c r="A37" s="4" t="s">
        <v>100</v>
      </c>
      <c r="B37" s="4" t="s">
        <v>101</v>
      </c>
      <c r="C37" s="4" t="s">
        <v>43</v>
      </c>
      <c r="D37" s="4" t="s">
        <v>102</v>
      </c>
      <c r="E37" s="10" t="n">
        <v>1</v>
      </c>
      <c r="F37" s="11" t="n">
        <v>6.97</v>
      </c>
      <c r="G37" s="4" t="s">
        <v>45</v>
      </c>
      <c r="H37" s="12" t="n">
        <f aca="false">IF(G37="USD",F37*$F$5*(1+$F$6),IF(G37="EUR ex VAT",F37*(1+$F$6),F37))</f>
        <v>7.69900624</v>
      </c>
      <c r="I37" s="4" t="n">
        <f aca="false">IF(B6&gt;6,2,1)</f>
        <v>1</v>
      </c>
      <c r="J37" s="4" t="n">
        <f aca="false">IF(I37&gt;0,CEILING(I37/E37,1),0)</f>
        <v>1</v>
      </c>
      <c r="K37" s="12" t="n">
        <f aca="false">J37*H37</f>
        <v>7.69900624</v>
      </c>
      <c r="L37" s="4" t="n">
        <f aca="false">IF(C6&gt;6,2,1)</f>
        <v>2</v>
      </c>
      <c r="M37" s="4" t="n">
        <f aca="false">IF(L37&gt;0,CEILING(L37/E37,1),0)</f>
        <v>2</v>
      </c>
      <c r="N37" s="12" t="n">
        <f aca="false">M37*H37</f>
        <v>15.39801248</v>
      </c>
      <c r="O37" s="4" t="s">
        <v>103</v>
      </c>
    </row>
    <row r="38" customFormat="false" ht="15" hidden="false" customHeight="false" outlineLevel="0" collapsed="false">
      <c r="A38" s="4" t="s">
        <v>104</v>
      </c>
      <c r="B38" s="4" t="s">
        <v>105</v>
      </c>
      <c r="C38" s="4" t="s">
        <v>43</v>
      </c>
      <c r="D38" s="4" t="s">
        <v>106</v>
      </c>
      <c r="E38" s="10" t="n">
        <v>1</v>
      </c>
      <c r="F38" s="11" t="n">
        <v>0.72</v>
      </c>
      <c r="G38" s="4" t="s">
        <v>45</v>
      </c>
      <c r="H38" s="12" t="n">
        <f aca="false">IF(G38="USD",F38*$F$5*(1+$F$6),IF(G38="EUR ex VAT",F38*(1+$F$6),F38))</f>
        <v>0.79530624</v>
      </c>
      <c r="I38" s="4" t="n">
        <f aca="false">B15</f>
        <v>1</v>
      </c>
      <c r="J38" s="4" t="n">
        <f aca="false">IF(I38&gt;0,CEILING(I38/E38,1),0)</f>
        <v>1</v>
      </c>
      <c r="K38" s="12" t="n">
        <f aca="false">J38*H38</f>
        <v>0.79530624</v>
      </c>
      <c r="L38" s="4" t="n">
        <f aca="false">C15</f>
        <v>4</v>
      </c>
      <c r="M38" s="4" t="n">
        <f aca="false">IF(L38&gt;0,CEILING(L38/E38,1),0)</f>
        <v>4</v>
      </c>
      <c r="N38" s="12" t="n">
        <f aca="false">M38*H38</f>
        <v>3.18122496</v>
      </c>
      <c r="O38" s="4" t="s">
        <v>107</v>
      </c>
    </row>
    <row r="39" customFormat="false" ht="15" hidden="false" customHeight="false" outlineLevel="0" collapsed="false">
      <c r="A39" s="4" t="s">
        <v>108</v>
      </c>
      <c r="B39" s="4" t="s">
        <v>109</v>
      </c>
      <c r="C39" s="4" t="s">
        <v>43</v>
      </c>
      <c r="D39" s="4" t="s">
        <v>110</v>
      </c>
      <c r="E39" s="10" t="n">
        <v>1</v>
      </c>
      <c r="F39" s="11" t="n">
        <v>1.09</v>
      </c>
      <c r="G39" s="4" t="s">
        <v>45</v>
      </c>
      <c r="H39" s="12" t="n">
        <f aca="false">IF(G39="USD",F39*$F$5*(1+$F$6),IF(G39="EUR ex VAT",F39*(1+$F$6),F39))</f>
        <v>1.20400528</v>
      </c>
      <c r="I39" s="4" t="n">
        <f aca="false">IF(B17&gt;0,1,0)</f>
        <v>1</v>
      </c>
      <c r="J39" s="4" t="n">
        <f aca="false">IF(I39&gt;0,CEILING(I39/E39,1),0)</f>
        <v>1</v>
      </c>
      <c r="K39" s="12" t="n">
        <f aca="false">J39*H39</f>
        <v>1.20400528</v>
      </c>
      <c r="L39" s="4" t="n">
        <f aca="false">IF(C17&gt;0,1,0)</f>
        <v>1</v>
      </c>
      <c r="M39" s="4" t="n">
        <f aca="false">IF(L39&gt;0,CEILING(L39/E39,1),0)</f>
        <v>1</v>
      </c>
      <c r="N39" s="12" t="n">
        <f aca="false">M39*H39</f>
        <v>1.20400528</v>
      </c>
      <c r="O39" s="4" t="s">
        <v>111</v>
      </c>
    </row>
    <row r="40" customFormat="false" ht="15" hidden="false" customHeight="false" outlineLevel="0" collapsed="false">
      <c r="A40" s="4" t="s">
        <v>112</v>
      </c>
      <c r="B40" s="4" t="s">
        <v>113</v>
      </c>
      <c r="C40" s="4" t="s">
        <v>114</v>
      </c>
      <c r="D40" s="4" t="s">
        <v>115</v>
      </c>
      <c r="E40" s="10" t="n">
        <v>12</v>
      </c>
      <c r="F40" s="11" t="n">
        <v>5.61</v>
      </c>
      <c r="G40" s="4" t="s">
        <v>116</v>
      </c>
      <c r="H40" s="12" t="n">
        <f aca="false">IF(G40="USD",F40*$F$5*(1+$F$6),IF(G40="EUR ex VAT",F40*(1+$F$6),F40))</f>
        <v>5.61</v>
      </c>
      <c r="I40" s="4" t="n">
        <f aca="false">B20</f>
        <v>0</v>
      </c>
      <c r="J40" s="4" t="n">
        <f aca="false">IF(I40&gt;0,CEILING(I40/E40,1),0)</f>
        <v>0</v>
      </c>
      <c r="K40" s="12" t="n">
        <f aca="false">J40*H40</f>
        <v>0</v>
      </c>
      <c r="L40" s="4" t="n">
        <f aca="false">C20</f>
        <v>40</v>
      </c>
      <c r="M40" s="4" t="n">
        <f aca="false">IF(L40&gt;0,CEILING(L40/E40,1),0)</f>
        <v>4</v>
      </c>
      <c r="N40" s="12" t="n">
        <f aca="false">M40*H40</f>
        <v>22.44</v>
      </c>
      <c r="O40" s="4" t="s">
        <v>117</v>
      </c>
    </row>
    <row r="41" customFormat="false" ht="15" hidden="false" customHeight="false" outlineLevel="0" collapsed="false">
      <c r="A41" s="4" t="s">
        <v>118</v>
      </c>
      <c r="B41" s="4"/>
      <c r="C41" s="4" t="s">
        <v>114</v>
      </c>
      <c r="D41" s="4"/>
      <c r="E41" s="10" t="n">
        <v>1</v>
      </c>
      <c r="F41" s="11" t="n">
        <v>7.7</v>
      </c>
      <c r="G41" s="4" t="s">
        <v>116</v>
      </c>
      <c r="H41" s="12" t="n">
        <f aca="false">IF(G41="USD",F41*$F$5*(1+$F$6),IF(G41="EUR ex VAT",F41*(1+$F$6),F41))</f>
        <v>7.7</v>
      </c>
      <c r="I41" s="4" t="n">
        <f aca="false">IF(B20&gt;0,1,0)</f>
        <v>0</v>
      </c>
      <c r="J41" s="4" t="n">
        <f aca="false">IF(I41&gt;0,CEILING(I41/E41,1),0)</f>
        <v>0</v>
      </c>
      <c r="K41" s="12" t="n">
        <f aca="false">J41*H41</f>
        <v>0</v>
      </c>
      <c r="L41" s="4" t="n">
        <f aca="false">IF(C20&gt;0,1,0)</f>
        <v>1</v>
      </c>
      <c r="M41" s="4" t="n">
        <f aca="false">IF(L41&gt;0,CEILING(L41/E41,1),0)</f>
        <v>1</v>
      </c>
      <c r="N41" s="12" t="n">
        <f aca="false">M41*H41</f>
        <v>7.7</v>
      </c>
      <c r="O41" s="4" t="s">
        <v>119</v>
      </c>
    </row>
    <row r="42" customFormat="false" ht="15" hidden="false" customHeight="false" outlineLevel="0" collapsed="false">
      <c r="A42" s="3" t="s">
        <v>120</v>
      </c>
      <c r="K42" s="12" t="n">
        <f aca="false">$F$7</f>
        <v>0</v>
      </c>
      <c r="N42" s="12" t="n">
        <f aca="false">$F$7</f>
        <v>0</v>
      </c>
    </row>
    <row r="43" customFormat="false" ht="15" hidden="false" customHeight="false" outlineLevel="0" collapsed="false">
      <c r="A43" s="13" t="s">
        <v>121</v>
      </c>
      <c r="K43" s="14" t="n">
        <f aca="false">SUM(K23:K42)</f>
        <v>50.16024192</v>
      </c>
      <c r="N43" s="14" t="n">
        <f aca="false">SUM(N23:N42)</f>
        <v>233.23316192</v>
      </c>
    </row>
    <row r="45" customFormat="false" ht="15" hidden="false" customHeight="false" outlineLevel="0" collapsed="false">
      <c r="A45" s="15" t="s">
        <v>122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customFormat="false" ht="15" hidden="false" customHeight="false" outlineLevel="0" collapsed="false">
      <c r="A46" s="15" t="s">
        <v>123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customFormat="false" ht="15" hidden="false" customHeight="false" outlineLevel="0" collapsed="false">
      <c r="A47" s="15" t="s">
        <v>124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</sheetData>
  <mergeCells count="4">
    <mergeCell ref="A2:O2"/>
    <mergeCell ref="A45:O45"/>
    <mergeCell ref="A46:O46"/>
    <mergeCell ref="A47:O47"/>
  </mergeCells>
  <dataValidations count="2">
    <dataValidation allowBlank="false" errorStyle="stop" operator="between" showDropDown="false" showErrorMessage="false" showInputMessage="false" sqref="B11:C11" type="list">
      <formula1>"DRV8871,DRV8876"</formula1>
      <formula2>0</formula2>
    </dataValidation>
    <dataValidation allowBlank="false" errorStyle="stop" operator="between" showDropDown="false" showErrorMessage="false" showInputMessage="false" sqref="B12:C12" type="list">
      <formula1>"SG90,MG90S"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2026-10-21T05:54:07Z</dcterms:created>
  <dc:creator>openpyxl</dc:creator>
  <dc:description/>
  <dc:language>en-US</dc:language>
  <cp:lastModifiedBy/>
  <dcterms:modified xsi:type="dcterms:W3CDTF">2026-10-21T05:54:07Z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